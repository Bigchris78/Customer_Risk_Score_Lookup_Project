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de\Pictures\Screenshots\Customer_lookup_project\"/>
    </mc:Choice>
  </mc:AlternateContent>
  <xr:revisionPtr revIDLastSave="0" documentId="8_{EC3432F7-726F-4556-A1E7-68C58499D719}" xr6:coauthVersionLast="47" xr6:coauthVersionMax="47" xr10:uidLastSave="{00000000-0000-0000-0000-000000000000}"/>
  <bookViews>
    <workbookView xWindow="-120" yWindow="-120" windowWidth="29040" windowHeight="15720" activeTab="3" xr2:uid="{C7F3AC8D-AF95-4B9F-89D7-A05D9C1D728C}"/>
  </bookViews>
  <sheets>
    <sheet name="Customers" sheetId="1" r:id="rId1"/>
    <sheet name="Count Customers by State" sheetId="3" r:id="rId2"/>
    <sheet name="Risk Scores" sheetId="2" r:id="rId3"/>
    <sheet name="Pivote Table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0" i="1" l="1"/>
  <c r="C49" i="1"/>
  <c r="E10" i="1"/>
  <c r="A51" i="1"/>
  <c r="C51" i="1"/>
  <c r="A3" i="1"/>
  <c r="A5" i="2"/>
  <c r="B14" i="2"/>
  <c r="B11" i="2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3" i="1"/>
  <c r="B4" i="2"/>
  <c r="B5" i="2"/>
  <c r="B6" i="2"/>
  <c r="B7" i="2"/>
  <c r="B8" i="2"/>
  <c r="B9" i="2"/>
  <c r="B10" i="2"/>
  <c r="B12" i="2"/>
  <c r="B13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3" i="2"/>
  <c r="A50" i="2"/>
  <c r="A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3" i="2"/>
  <c r="D8" i="1" l="1"/>
  <c r="E8" i="1" s="1"/>
  <c r="D50" i="1"/>
  <c r="E50" i="1" s="1"/>
  <c r="D7" i="1"/>
  <c r="E7" i="1" s="1"/>
  <c r="D49" i="1"/>
  <c r="D44" i="1"/>
  <c r="E44" i="1" s="1"/>
  <c r="D51" i="1"/>
  <c r="E51" i="1" s="1"/>
  <c r="D6" i="1"/>
  <c r="E6" i="1" s="1"/>
  <c r="D38" i="1"/>
  <c r="E38" i="1" s="1"/>
  <c r="D3" i="1"/>
  <c r="D19" i="1"/>
  <c r="E19" i="1" s="1"/>
  <c r="D11" i="1"/>
  <c r="E11" i="1" s="1"/>
  <c r="D22" i="1"/>
  <c r="E22" i="1" s="1"/>
  <c r="D45" i="1"/>
  <c r="E45" i="1" s="1"/>
  <c r="D21" i="1"/>
  <c r="E21" i="1" s="1"/>
  <c r="D28" i="1"/>
  <c r="E28" i="1" s="1"/>
  <c r="D4" i="1"/>
  <c r="E4" i="1" s="1"/>
  <c r="D35" i="1"/>
  <c r="E35" i="1" s="1"/>
  <c r="D29" i="1"/>
  <c r="E29" i="1" s="1"/>
  <c r="D36" i="1"/>
  <c r="E36" i="1" s="1"/>
  <c r="D12" i="1"/>
  <c r="E12" i="1" s="1"/>
  <c r="D43" i="1"/>
  <c r="E43" i="1" s="1"/>
  <c r="D27" i="1"/>
  <c r="E27" i="1" s="1"/>
  <c r="D30" i="1"/>
  <c r="E30" i="1" s="1"/>
  <c r="D13" i="1"/>
  <c r="E13" i="1" s="1"/>
  <c r="D20" i="1"/>
  <c r="E20" i="1" s="1"/>
  <c r="D48" i="1"/>
  <c r="E48" i="1" s="1"/>
  <c r="D40" i="1"/>
  <c r="E40" i="1" s="1"/>
  <c r="D32" i="1"/>
  <c r="E32" i="1" s="1"/>
  <c r="D24" i="1"/>
  <c r="E24" i="1" s="1"/>
  <c r="D16" i="1"/>
  <c r="E16" i="1" s="1"/>
  <c r="D46" i="1"/>
  <c r="E46" i="1" s="1"/>
  <c r="D14" i="1"/>
  <c r="E14" i="1" s="1"/>
  <c r="D37" i="1"/>
  <c r="E37" i="1" s="1"/>
  <c r="D5" i="1"/>
  <c r="E5" i="1" s="1"/>
  <c r="D33" i="1"/>
  <c r="E33" i="1" s="1"/>
  <c r="D47" i="1"/>
  <c r="E47" i="1" s="1"/>
  <c r="D39" i="1"/>
  <c r="E39" i="1" s="1"/>
  <c r="D31" i="1"/>
  <c r="E31" i="1" s="1"/>
  <c r="D23" i="1"/>
  <c r="E23" i="1" s="1"/>
  <c r="D15" i="1"/>
  <c r="E15" i="1" s="1"/>
  <c r="D18" i="1"/>
  <c r="E18" i="1" s="1"/>
  <c r="D17" i="1"/>
  <c r="E17" i="1" s="1"/>
  <c r="D42" i="1"/>
  <c r="E42" i="1" s="1"/>
  <c r="D25" i="1"/>
  <c r="E25" i="1" s="1"/>
  <c r="D9" i="1"/>
  <c r="E9" i="1" s="1"/>
  <c r="D26" i="1"/>
  <c r="E26" i="1" s="1"/>
  <c r="D41" i="1"/>
  <c r="E41" i="1" s="1"/>
  <c r="D10" i="1"/>
  <c r="E49" i="1"/>
  <c r="D34" i="1"/>
  <c r="E34" i="1" s="1"/>
  <c r="J3" i="1" l="1"/>
  <c r="I9" i="1"/>
  <c r="I8" i="1"/>
  <c r="I7" i="1"/>
  <c r="I6" i="1"/>
  <c r="E3" i="1"/>
</calcChain>
</file>

<file path=xl/sharedStrings.xml><?xml version="1.0" encoding="utf-8"?>
<sst xmlns="http://schemas.openxmlformats.org/spreadsheetml/2006/main" count="94" uniqueCount="52">
  <si>
    <t>Customer ID</t>
  </si>
  <si>
    <t>Customer Master</t>
  </si>
  <si>
    <t>Customer Name</t>
  </si>
  <si>
    <t>State</t>
  </si>
  <si>
    <t>James</t>
  </si>
  <si>
    <t>Suzan</t>
  </si>
  <si>
    <t>Austyn</t>
  </si>
  <si>
    <t>Dave</t>
  </si>
  <si>
    <t>Nathan</t>
  </si>
  <si>
    <t>Emma</t>
  </si>
  <si>
    <t>Jasmin</t>
  </si>
  <si>
    <t>Jazzy</t>
  </si>
  <si>
    <t>Grace</t>
  </si>
  <si>
    <t>Amber</t>
  </si>
  <si>
    <t>Jean</t>
  </si>
  <si>
    <t>Denise</t>
  </si>
  <si>
    <t>Francis</t>
  </si>
  <si>
    <t>Alice</t>
  </si>
  <si>
    <t>Mohan</t>
  </si>
  <si>
    <t>Julia</t>
  </si>
  <si>
    <t>ALice</t>
  </si>
  <si>
    <t>Anaya</t>
  </si>
  <si>
    <t>Chris</t>
  </si>
  <si>
    <t>David</t>
  </si>
  <si>
    <t>Blake</t>
  </si>
  <si>
    <t>NC</t>
  </si>
  <si>
    <t>GA</t>
  </si>
  <si>
    <t>SC</t>
  </si>
  <si>
    <t>TN</t>
  </si>
  <si>
    <t>NY</t>
  </si>
  <si>
    <t>Risk Scores</t>
  </si>
  <si>
    <t>Risk Score</t>
  </si>
  <si>
    <t>Low</t>
  </si>
  <si>
    <t>High</t>
  </si>
  <si>
    <t>Medium</t>
  </si>
  <si>
    <t>Risk Flag</t>
  </si>
  <si>
    <t>Count High-Risk Customers</t>
  </si>
  <si>
    <t>High-Risk Customers</t>
  </si>
  <si>
    <t>Count Customers by State</t>
  </si>
  <si>
    <t>Row Labels</t>
  </si>
  <si>
    <t>Grand Total</t>
  </si>
  <si>
    <t>Count of State</t>
  </si>
  <si>
    <t>Count of Customer ID</t>
  </si>
  <si>
    <t>(All)</t>
  </si>
  <si>
    <t>How many customers are in each state?</t>
  </si>
  <si>
    <t>Which states have the most high-risk customers?</t>
  </si>
  <si>
    <t>Total Customers</t>
  </si>
  <si>
    <t>Medium-Risk Customers</t>
  </si>
  <si>
    <t>Low-Risk Customers</t>
  </si>
  <si>
    <t>Not Found</t>
  </si>
  <si>
    <t>John</t>
  </si>
  <si>
    <t>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</si>
</sst>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Risk Score Lookup Project.xlsx]Count Customers by State!PivotTable3</c:name>
    <c:fmtId val="1"/>
  </c:pivotSource>
  <c:chart>
    <c:title>
      <c:layout>
        <c:manualLayout>
          <c:xMode val="edge"/>
          <c:yMode val="edge"/>
          <c:x val="0.49927077865266839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Customers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Customers by State'!$A$4:$A$9</c:f>
              <c:strCache>
                <c:ptCount val="5"/>
                <c:pt idx="0">
                  <c:v>GA</c:v>
                </c:pt>
                <c:pt idx="1">
                  <c:v>NC</c:v>
                </c:pt>
                <c:pt idx="2">
                  <c:v>NY</c:v>
                </c:pt>
                <c:pt idx="3">
                  <c:v>SC</c:v>
                </c:pt>
                <c:pt idx="4">
                  <c:v>TN</c:v>
                </c:pt>
              </c:strCache>
            </c:strRef>
          </c:cat>
          <c:val>
            <c:numRef>
              <c:f>'Count Customers by State'!$B$4:$B$9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D-4E35-A831-2137F7329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976287"/>
        <c:axId val="1432973407"/>
      </c:barChart>
      <c:catAx>
        <c:axId val="143297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73407"/>
        <c:crosses val="autoZero"/>
        <c:auto val="1"/>
        <c:lblAlgn val="ctr"/>
        <c:lblOffset val="100"/>
        <c:noMultiLvlLbl val="0"/>
      </c:catAx>
      <c:valAx>
        <c:axId val="143297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7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</xdr:row>
      <xdr:rowOff>14287</xdr:rowOff>
    </xdr:from>
    <xdr:to>
      <xdr:col>10</xdr:col>
      <xdr:colOff>47625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8AABA-93BC-5B73-69E9-7EA2663F5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Walden" refreshedDate="46195.861162037036" createdVersion="8" refreshedVersion="8" minRefreshableVersion="3" recordCount="48" xr:uid="{36D50B6F-E0C5-4698-BC3E-A88A4B538886}">
  <cacheSource type="worksheet">
    <worksheetSource name="Table3"/>
  </cacheSource>
  <cacheFields count="5">
    <cacheField name="Customer ID" numFmtId="0">
      <sharedItems containsSemiMixedTypes="0" containsString="0" containsNumber="1" containsInteger="1" minValue="2" maxValue="50"/>
    </cacheField>
    <cacheField name="Customer Name" numFmtId="0">
      <sharedItems/>
    </cacheField>
    <cacheField name="State" numFmtId="0">
      <sharedItems count="5">
        <s v="GA"/>
        <s v="NC"/>
        <s v="SC"/>
        <s v="TN"/>
        <s v="NY"/>
      </sharedItems>
    </cacheField>
    <cacheField name="Risk Score" numFmtId="0">
      <sharedItems count="4">
        <s v="High"/>
        <s v="Low"/>
        <s v="Medium"/>
        <s v="Not Found"/>
      </sharedItems>
    </cacheField>
    <cacheField name="Risk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45"/>
    <s v="James"/>
    <x v="0"/>
    <x v="0"/>
    <s v="Review"/>
  </r>
  <r>
    <n v="34"/>
    <s v="Suzan"/>
    <x v="0"/>
    <x v="0"/>
    <s v="Review"/>
  </r>
  <r>
    <n v="34"/>
    <s v="Austyn"/>
    <x v="1"/>
    <x v="0"/>
    <s v="Review"/>
  </r>
  <r>
    <n v="6"/>
    <s v="Dave"/>
    <x v="0"/>
    <x v="1"/>
    <s v="Normal"/>
  </r>
  <r>
    <n v="2"/>
    <s v="James"/>
    <x v="0"/>
    <x v="1"/>
    <s v="Normal"/>
  </r>
  <r>
    <n v="2"/>
    <s v="James"/>
    <x v="2"/>
    <x v="1"/>
    <s v="Normal"/>
  </r>
  <r>
    <n v="34"/>
    <s v="Nathan"/>
    <x v="1"/>
    <x v="0"/>
    <s v="Review"/>
  </r>
  <r>
    <n v="32"/>
    <s v="Emma"/>
    <x v="3"/>
    <x v="0"/>
    <s v="Review"/>
  </r>
  <r>
    <n v="38"/>
    <s v="James"/>
    <x v="3"/>
    <x v="0"/>
    <s v="Review"/>
  </r>
  <r>
    <n v="8"/>
    <s v="Suzan"/>
    <x v="3"/>
    <x v="0"/>
    <s v="Review"/>
  </r>
  <r>
    <n v="23"/>
    <s v="Jasmin"/>
    <x v="2"/>
    <x v="2"/>
    <s v="Normal"/>
  </r>
  <r>
    <n v="45"/>
    <s v="Jazzy"/>
    <x v="2"/>
    <x v="0"/>
    <s v="Review"/>
  </r>
  <r>
    <n v="25"/>
    <s v="Grace"/>
    <x v="3"/>
    <x v="0"/>
    <s v="Review"/>
  </r>
  <r>
    <n v="18"/>
    <s v="Amber"/>
    <x v="0"/>
    <x v="1"/>
    <s v="Normal"/>
  </r>
  <r>
    <n v="13"/>
    <s v="Jean"/>
    <x v="0"/>
    <x v="3"/>
    <s v="Normal"/>
  </r>
  <r>
    <n v="37"/>
    <s v="Denise"/>
    <x v="1"/>
    <x v="3"/>
    <s v="Normal"/>
  </r>
  <r>
    <n v="3"/>
    <s v="Francis"/>
    <x v="3"/>
    <x v="1"/>
    <s v="Normal"/>
  </r>
  <r>
    <n v="17"/>
    <s v="Alice"/>
    <x v="0"/>
    <x v="1"/>
    <s v="Normal"/>
  </r>
  <r>
    <n v="47"/>
    <s v="James"/>
    <x v="2"/>
    <x v="1"/>
    <s v="Normal"/>
  </r>
  <r>
    <n v="5"/>
    <s v="Dave"/>
    <x v="3"/>
    <x v="0"/>
    <s v="Review"/>
  </r>
  <r>
    <n v="50"/>
    <s v="Mohan"/>
    <x v="1"/>
    <x v="3"/>
    <s v="Normal"/>
  </r>
  <r>
    <n v="20"/>
    <s v="Denise"/>
    <x v="4"/>
    <x v="3"/>
    <s v="Normal"/>
  </r>
  <r>
    <n v="13"/>
    <s v="Jean"/>
    <x v="1"/>
    <x v="3"/>
    <s v="Normal"/>
  </r>
  <r>
    <n v="23"/>
    <s v="Alice"/>
    <x v="0"/>
    <x v="2"/>
    <s v="Normal"/>
  </r>
  <r>
    <n v="18"/>
    <s v="Amber"/>
    <x v="3"/>
    <x v="1"/>
    <s v="Normal"/>
  </r>
  <r>
    <n v="34"/>
    <s v="Julia"/>
    <x v="4"/>
    <x v="0"/>
    <s v="Review"/>
  </r>
  <r>
    <n v="6"/>
    <s v="Jean"/>
    <x v="3"/>
    <x v="1"/>
    <s v="Normal"/>
  </r>
  <r>
    <n v="17"/>
    <s v="Jazzy"/>
    <x v="0"/>
    <x v="1"/>
    <s v="Normal"/>
  </r>
  <r>
    <n v="39"/>
    <s v="Jasmin"/>
    <x v="2"/>
    <x v="2"/>
    <s v="Normal"/>
  </r>
  <r>
    <n v="10"/>
    <s v="Austyn"/>
    <x v="2"/>
    <x v="3"/>
    <s v="Normal"/>
  </r>
  <r>
    <n v="43"/>
    <s v="Jean"/>
    <x v="0"/>
    <x v="0"/>
    <s v="Review"/>
  </r>
  <r>
    <n v="17"/>
    <s v="Grace"/>
    <x v="3"/>
    <x v="1"/>
    <s v="Normal"/>
  </r>
  <r>
    <n v="28"/>
    <s v="Jean"/>
    <x v="0"/>
    <x v="3"/>
    <s v="Normal"/>
  </r>
  <r>
    <n v="5"/>
    <s v="Alice"/>
    <x v="1"/>
    <x v="0"/>
    <s v="Review"/>
  </r>
  <r>
    <n v="5"/>
    <s v="Amber"/>
    <x v="2"/>
    <x v="0"/>
    <s v="Review"/>
  </r>
  <r>
    <n v="47"/>
    <s v="Grace"/>
    <x v="0"/>
    <x v="1"/>
    <s v="Normal"/>
  </r>
  <r>
    <n v="7"/>
    <s v="Dave"/>
    <x v="0"/>
    <x v="2"/>
    <s v="Normal"/>
  </r>
  <r>
    <n v="18"/>
    <s v="James"/>
    <x v="1"/>
    <x v="1"/>
    <s v="Normal"/>
  </r>
  <r>
    <n v="39"/>
    <s v="Anaya"/>
    <x v="0"/>
    <x v="2"/>
    <s v="Normal"/>
  </r>
  <r>
    <n v="19"/>
    <s v="Chris"/>
    <x v="1"/>
    <x v="2"/>
    <s v="Normal"/>
  </r>
  <r>
    <n v="28"/>
    <s v="David"/>
    <x v="3"/>
    <x v="3"/>
    <s v="Normal"/>
  </r>
  <r>
    <n v="15"/>
    <s v="Blake"/>
    <x v="1"/>
    <x v="3"/>
    <s v="Normal"/>
  </r>
  <r>
    <n v="17"/>
    <s v="Denise"/>
    <x v="2"/>
    <x v="1"/>
    <s v="Normal"/>
  </r>
  <r>
    <n v="8"/>
    <s v="Dave"/>
    <x v="4"/>
    <x v="0"/>
    <s v="Review"/>
  </r>
  <r>
    <n v="43"/>
    <s v="Francis"/>
    <x v="2"/>
    <x v="0"/>
    <s v="Review"/>
  </r>
  <r>
    <n v="26"/>
    <s v="Jean"/>
    <x v="3"/>
    <x v="3"/>
    <s v="Normal"/>
  </r>
  <r>
    <n v="44"/>
    <s v="Grace"/>
    <x v="2"/>
    <x v="3"/>
    <s v="Normal"/>
  </r>
  <r>
    <n v="30"/>
    <s v="Dave"/>
    <x v="1"/>
    <x v="3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CF1B0-087B-4B92-BBEB-14AC7B56CB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5">
    <pivotField showAll="0"/>
    <pivotField showAll="0"/>
    <pivotField axis="axisRow" dataField="1" showAll="0">
      <items count="6">
        <item x="0"/>
        <item x="1"/>
        <item x="4"/>
        <item x="2"/>
        <item x="3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e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B0273-5EAF-47DA-B6AB-237AB2E057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">
    <pivotField dataField="1"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4F9194-F8C0-4B71-B32E-39EBA2360589}" name="Table3" displayName="Table3" ref="A2:E51" totalsRowShown="0">
  <autoFilter ref="A2:E51" xr:uid="{504F9194-F8C0-4B71-B32E-39EBA2360589}"/>
  <tableColumns count="5">
    <tableColumn id="1" xr3:uid="{049BC670-3E6D-436D-8C05-80221B527DCC}" name="Customer ID">
      <calculatedColumnFormula>RANDBETWEEN(1,50)</calculatedColumnFormula>
    </tableColumn>
    <tableColumn id="2" xr3:uid="{C1F9E46B-6B51-4631-B4FE-018F3C862F46}" name="Customer Name"/>
    <tableColumn id="3" xr3:uid="{88AABFC1-CAE8-4FD2-88E1-B2B8E7BFB7D2}" name="State">
      <calculatedColumnFormula>CHOOSE(RANDBETWEEN(1,5),$L$2,$M$2,$N$2,$O$2,$P$2)</calculatedColumnFormula>
    </tableColumn>
    <tableColumn id="4" xr3:uid="{0E159FC3-FF22-46E8-A92A-BD9988A88BF5}" name="Risk Score" dataDxfId="1">
      <calculatedColumnFormula>_xlfn.XLOOKUP(Table3[[#This Row],[Customer ID]],Table4[Customer ID],Table4[Risk Score],"Not Found")</calculatedColumnFormula>
    </tableColumn>
    <tableColumn id="5" xr3:uid="{697C472C-28EE-4F5E-A60D-1CD750FD408A}" name="Risk Flag" dataDxfId="0">
      <calculatedColumnFormula>IF(Table3[[#This Row],[Risk Score]]="High","Review","Normal")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5DAD5E-04DC-4394-A553-00139B60447C}" name="Table4" displayName="Table4" ref="A2:B50" totalsRowShown="0">
  <autoFilter ref="A2:B50" xr:uid="{615DAD5E-04DC-4394-A553-00139B60447C}"/>
  <tableColumns count="2">
    <tableColumn id="1" xr3:uid="{8A57B25C-18E6-4A7D-8A0B-8A1C675F9719}" name="Customer ID">
      <calculatedColumnFormula>RANDBETWEEN(1,50)</calculatedColumnFormula>
    </tableColumn>
    <tableColumn id="2" xr3:uid="{8DF877FA-035C-4584-AF35-9401B6952E77}" name="Risk Score">
      <calculatedColumnFormula>CHOOSE(RANDBETWEEN(1,3),$K$2,$L$2,$M$2)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016A-572D-451F-A2AA-D98F28939B4E}">
  <dimension ref="A1:P51"/>
  <sheetViews>
    <sheetView workbookViewId="0">
      <selection activeCell="L16" sqref="L16"/>
    </sheetView>
  </sheetViews>
  <sheetFormatPr defaultRowHeight="15" x14ac:dyDescent="0.25"/>
  <cols>
    <col min="1" max="1" width="16" bestFit="1" customWidth="1"/>
    <col min="2" max="2" width="18.140625" bestFit="1" customWidth="1"/>
    <col min="3" max="3" width="8" bestFit="1" customWidth="1"/>
    <col min="4" max="4" width="12.7109375" bestFit="1" customWidth="1"/>
    <col min="5" max="5" width="11.140625" bestFit="1" customWidth="1"/>
    <col min="6" max="6" width="10" bestFit="1" customWidth="1"/>
    <col min="8" max="8" width="26.7109375" bestFit="1" customWidth="1"/>
    <col min="9" max="9" width="19.5703125" bestFit="1" customWidth="1"/>
    <col min="12" max="12" width="3.5703125" bestFit="1" customWidth="1"/>
    <col min="13" max="13" width="3.42578125" bestFit="1" customWidth="1"/>
    <col min="14" max="14" width="3.140625" bestFit="1" customWidth="1"/>
    <col min="15" max="16" width="3.42578125" bestFit="1" customWidth="1"/>
  </cols>
  <sheetData>
    <row r="1" spans="1:16" x14ac:dyDescent="0.25">
      <c r="A1" t="s">
        <v>1</v>
      </c>
    </row>
    <row r="2" spans="1:16" x14ac:dyDescent="0.25">
      <c r="A2" t="s">
        <v>0</v>
      </c>
      <c r="B2" t="s">
        <v>2</v>
      </c>
      <c r="C2" t="s">
        <v>3</v>
      </c>
      <c r="D2" t="s">
        <v>31</v>
      </c>
      <c r="E2" t="s">
        <v>35</v>
      </c>
      <c r="I2" s="1" t="s">
        <v>36</v>
      </c>
      <c r="J2" s="1"/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>
        <f ca="1">RANDBETWEEN(1,50)</f>
        <v>34</v>
      </c>
      <c r="B3" t="s">
        <v>4</v>
      </c>
      <c r="C3" t="str">
        <f ca="1">CHOOSE(RANDBETWEEN(1,5),$L$2,$M$2,$N$2,$O$2,$P$2)</f>
        <v>NY</v>
      </c>
      <c r="D3" t="str">
        <f ca="1">_xlfn.XLOOKUP(Table3[[#This Row],[Customer ID]],Table4[Customer ID],Table4[Risk Score],"Not Found")</f>
        <v>Not Found</v>
      </c>
      <c r="E3" t="str">
        <f ca="1">IF(Table3[[#This Row],[Risk Score]]="High","Review","Normal")</f>
        <v>Normal</v>
      </c>
      <c r="I3" t="s">
        <v>37</v>
      </c>
      <c r="J3">
        <f ca="1">COUNTIF(Table3[Risk Score],"High")</f>
        <v>6</v>
      </c>
    </row>
    <row r="4" spans="1:16" x14ac:dyDescent="0.25">
      <c r="A4">
        <f t="shared" ref="A4:A50" ca="1" si="0">RANDBETWEEN(1,50)</f>
        <v>36</v>
      </c>
      <c r="B4" t="s">
        <v>5</v>
      </c>
      <c r="C4" t="str">
        <f t="shared" ref="C4:C48" ca="1" si="1">CHOOSE(RANDBETWEEN(1,5),$L$2,$M$2,$N$2,$O$2,$P$2)</f>
        <v>TN</v>
      </c>
      <c r="D4" t="str">
        <f ca="1">_xlfn.XLOOKUP(Table3[[#This Row],[Customer ID]],Table4[Customer ID],Table4[Risk Score],"Not Found")</f>
        <v>Not Found</v>
      </c>
      <c r="E4" t="str">
        <f ca="1">IF(Table3[[#This Row],[Risk Score]]="High","Review","Normal")</f>
        <v>Normal</v>
      </c>
    </row>
    <row r="5" spans="1:16" x14ac:dyDescent="0.25">
      <c r="A5">
        <f t="shared" ca="1" si="0"/>
        <v>9</v>
      </c>
      <c r="B5" t="s">
        <v>6</v>
      </c>
      <c r="C5" t="str">
        <f t="shared" ca="1" si="1"/>
        <v>TN</v>
      </c>
      <c r="D5" t="str">
        <f ca="1">_xlfn.XLOOKUP(Table3[[#This Row],[Customer ID]],Table4[Customer ID],Table4[Risk Score],"Not Found")</f>
        <v>Not Found</v>
      </c>
      <c r="E5" t="str">
        <f ca="1">IF(Table3[[#This Row],[Risk Score]]="High","Review","Normal")</f>
        <v>Normal</v>
      </c>
      <c r="H5" s="1" t="s">
        <v>46</v>
      </c>
      <c r="I5">
        <v>48</v>
      </c>
    </row>
    <row r="6" spans="1:16" x14ac:dyDescent="0.25">
      <c r="A6">
        <f t="shared" ca="1" si="0"/>
        <v>11</v>
      </c>
      <c r="B6" t="s">
        <v>7</v>
      </c>
      <c r="C6" t="str">
        <f t="shared" ca="1" si="1"/>
        <v>GA</v>
      </c>
      <c r="D6" t="str">
        <f ca="1">_xlfn.XLOOKUP(Table3[[#This Row],[Customer ID]],Table4[Customer ID],Table4[Risk Score],"Not Found")</f>
        <v>Medium</v>
      </c>
      <c r="E6" t="str">
        <f ca="1">IF(Table3[[#This Row],[Risk Score]]="High","Review","Normal")</f>
        <v>Normal</v>
      </c>
      <c r="H6" s="1" t="s">
        <v>37</v>
      </c>
      <c r="I6">
        <f ca="1">COUNTIFS(Table3[Risk Score],"High")</f>
        <v>6</v>
      </c>
    </row>
    <row r="7" spans="1:16" x14ac:dyDescent="0.25">
      <c r="A7">
        <f t="shared" ca="1" si="0"/>
        <v>31</v>
      </c>
      <c r="B7" t="s">
        <v>4</v>
      </c>
      <c r="C7" t="str">
        <f t="shared" ca="1" si="1"/>
        <v>GA</v>
      </c>
      <c r="D7" t="str">
        <f ca="1">_xlfn.XLOOKUP(Table3[[#This Row],[Customer ID]],Table4[Customer ID],Table4[Risk Score],"Not Found")</f>
        <v>Low</v>
      </c>
      <c r="E7" t="str">
        <f ca="1">IF(Table3[[#This Row],[Risk Score]]="High","Review","Normal")</f>
        <v>Normal</v>
      </c>
      <c r="H7" s="1" t="s">
        <v>47</v>
      </c>
      <c r="I7">
        <f ca="1">COUNTIFS(Table3[Risk Score],"Medium")</f>
        <v>15</v>
      </c>
    </row>
    <row r="8" spans="1:16" x14ac:dyDescent="0.25">
      <c r="A8">
        <f t="shared" ca="1" si="0"/>
        <v>44</v>
      </c>
      <c r="B8" t="s">
        <v>4</v>
      </c>
      <c r="C8" t="str">
        <f t="shared" ca="1" si="1"/>
        <v>NY</v>
      </c>
      <c r="D8" t="str">
        <f ca="1">_xlfn.XLOOKUP(Table3[[#This Row],[Customer ID]],Table4[Customer ID],Table4[Risk Score],"Not Found")</f>
        <v>Medium</v>
      </c>
      <c r="E8" t="str">
        <f ca="1">IF(Table3[[#This Row],[Risk Score]]="High","Review","Normal")</f>
        <v>Normal</v>
      </c>
      <c r="H8" s="1" t="s">
        <v>48</v>
      </c>
      <c r="I8">
        <f ca="1">COUNTIFS(Table3[Risk Score],"Low")</f>
        <v>10</v>
      </c>
    </row>
    <row r="9" spans="1:16" x14ac:dyDescent="0.25">
      <c r="A9">
        <f t="shared" ca="1" si="0"/>
        <v>40</v>
      </c>
      <c r="B9" t="s">
        <v>8</v>
      </c>
      <c r="C9" t="str">
        <f t="shared" ca="1" si="1"/>
        <v>NY</v>
      </c>
      <c r="D9" t="str">
        <f ca="1">_xlfn.XLOOKUP(Table3[[#This Row],[Customer ID]],Table4[Customer ID],Table4[Risk Score],"Not Found")</f>
        <v>Medium</v>
      </c>
      <c r="E9" t="str">
        <f ca="1">IF(Table3[[#This Row],[Risk Score]]="High","Review","Normal")</f>
        <v>Normal</v>
      </c>
      <c r="H9" s="5" t="s">
        <v>49</v>
      </c>
      <c r="I9">
        <f ca="1">COUNTIFS(Table3[Risk Score],"Not Found")</f>
        <v>18</v>
      </c>
    </row>
    <row r="10" spans="1:16" x14ac:dyDescent="0.25">
      <c r="A10">
        <f t="shared" ca="1" si="0"/>
        <v>12</v>
      </c>
      <c r="B10" t="s">
        <v>9</v>
      </c>
      <c r="C10" t="str">
        <f t="shared" ca="1" si="1"/>
        <v>SC</v>
      </c>
      <c r="D10" t="str">
        <f ca="1">_xlfn.XLOOKUP(Table3[[#This Row],[Customer ID]],Table4[Customer ID],Table4[Risk Score],"Not Found")</f>
        <v>Medium</v>
      </c>
      <c r="E10" t="str">
        <f>IF(S2="High","Review","Normal")</f>
        <v>Normal</v>
      </c>
    </row>
    <row r="11" spans="1:16" x14ac:dyDescent="0.25">
      <c r="A11">
        <f t="shared" ca="1" si="0"/>
        <v>25</v>
      </c>
      <c r="B11" t="s">
        <v>4</v>
      </c>
      <c r="C11" t="str">
        <f t="shared" ca="1" si="1"/>
        <v>SC</v>
      </c>
      <c r="D11" t="str">
        <f ca="1">_xlfn.XLOOKUP(Table3[[#This Row],[Customer ID]],Table4[Customer ID],Table4[Risk Score],"Not Found")</f>
        <v>Not Found</v>
      </c>
      <c r="E11" t="str">
        <f ca="1">IF(Table3[[#This Row],[Risk Score]]="High","Review","Normal")</f>
        <v>Normal</v>
      </c>
    </row>
    <row r="12" spans="1:16" x14ac:dyDescent="0.25">
      <c r="A12">
        <f t="shared" ca="1" si="0"/>
        <v>36</v>
      </c>
      <c r="B12" t="s">
        <v>5</v>
      </c>
      <c r="C12" t="str">
        <f t="shared" ca="1" si="1"/>
        <v>NY</v>
      </c>
      <c r="D12" t="str">
        <f ca="1">_xlfn.XLOOKUP(Table3[[#This Row],[Customer ID]],Table4[Customer ID],Table4[Risk Score],"Not Found")</f>
        <v>Not Found</v>
      </c>
      <c r="E12" t="str">
        <f ca="1">IF(Table3[[#This Row],[Risk Score]]="High","Review","Normal")</f>
        <v>Normal</v>
      </c>
    </row>
    <row r="13" spans="1:16" x14ac:dyDescent="0.25">
      <c r="A13">
        <f t="shared" ca="1" si="0"/>
        <v>7</v>
      </c>
      <c r="B13" t="s">
        <v>10</v>
      </c>
      <c r="C13" t="str">
        <f t="shared" ca="1" si="1"/>
        <v>GA</v>
      </c>
      <c r="D13" t="str">
        <f ca="1">_xlfn.XLOOKUP(Table3[[#This Row],[Customer ID]],Table4[Customer ID],Table4[Risk Score],"Not Found")</f>
        <v>High</v>
      </c>
      <c r="E13" t="str">
        <f ca="1">IF(Table3[[#This Row],[Risk Score]]="High","Review","Normal")</f>
        <v>Review</v>
      </c>
    </row>
    <row r="14" spans="1:16" x14ac:dyDescent="0.25">
      <c r="A14">
        <f t="shared" ca="1" si="0"/>
        <v>45</v>
      </c>
      <c r="B14" t="s">
        <v>11</v>
      </c>
      <c r="C14" t="str">
        <f t="shared" ca="1" si="1"/>
        <v>SC</v>
      </c>
      <c r="D14" t="str">
        <f ca="1">_xlfn.XLOOKUP(Table3[[#This Row],[Customer ID]],Table4[Customer ID],Table4[Risk Score],"Not Found")</f>
        <v>Medium</v>
      </c>
      <c r="E14" t="str">
        <f ca="1">IF(Table3[[#This Row],[Risk Score]]="High","Review","Normal")</f>
        <v>Normal</v>
      </c>
    </row>
    <row r="15" spans="1:16" x14ac:dyDescent="0.25">
      <c r="A15">
        <f t="shared" ca="1" si="0"/>
        <v>28</v>
      </c>
      <c r="B15" t="s">
        <v>12</v>
      </c>
      <c r="C15" t="str">
        <f t="shared" ca="1" si="1"/>
        <v>SC</v>
      </c>
      <c r="D15" t="str">
        <f ca="1">_xlfn.XLOOKUP(Table3[[#This Row],[Customer ID]],Table4[Customer ID],Table4[Risk Score],"Not Found")</f>
        <v>Not Found</v>
      </c>
      <c r="E15" t="str">
        <f ca="1">IF(Table3[[#This Row],[Risk Score]]="High","Review","Normal")</f>
        <v>Normal</v>
      </c>
    </row>
    <row r="16" spans="1:16" x14ac:dyDescent="0.25">
      <c r="A16">
        <f t="shared" ca="1" si="0"/>
        <v>5</v>
      </c>
      <c r="B16" t="s">
        <v>13</v>
      </c>
      <c r="C16" t="str">
        <f t="shared" ca="1" si="1"/>
        <v>GA</v>
      </c>
      <c r="D16" t="str">
        <f ca="1">_xlfn.XLOOKUP(Table3[[#This Row],[Customer ID]],Table4[Customer ID],Table4[Risk Score],"Not Found")</f>
        <v>Not Found</v>
      </c>
      <c r="E16" t="str">
        <f ca="1">IF(Table3[[#This Row],[Risk Score]]="High","Review","Normal")</f>
        <v>Normal</v>
      </c>
    </row>
    <row r="17" spans="1:5" x14ac:dyDescent="0.25">
      <c r="A17">
        <f t="shared" ca="1" si="0"/>
        <v>9</v>
      </c>
      <c r="B17" t="s">
        <v>14</v>
      </c>
      <c r="C17" t="str">
        <f t="shared" ca="1" si="1"/>
        <v>GA</v>
      </c>
      <c r="D17" t="str">
        <f ca="1">_xlfn.XLOOKUP(Table3[[#This Row],[Customer ID]],Table4[Customer ID],Table4[Risk Score],"Not Found")</f>
        <v>Not Found</v>
      </c>
      <c r="E17" t="str">
        <f ca="1">IF(Table3[[#This Row],[Risk Score]]="High","Review","Normal")</f>
        <v>Normal</v>
      </c>
    </row>
    <row r="18" spans="1:5" x14ac:dyDescent="0.25">
      <c r="A18">
        <f t="shared" ca="1" si="0"/>
        <v>43</v>
      </c>
      <c r="B18" t="s">
        <v>15</v>
      </c>
      <c r="C18" t="str">
        <f t="shared" ca="1" si="1"/>
        <v>TN</v>
      </c>
      <c r="D18" t="str">
        <f ca="1">_xlfn.XLOOKUP(Table3[[#This Row],[Customer ID]],Table4[Customer ID],Table4[Risk Score],"Not Found")</f>
        <v>Medium</v>
      </c>
      <c r="E18" t="str">
        <f ca="1">IF(Table3[[#This Row],[Risk Score]]="High","Review","Normal")</f>
        <v>Normal</v>
      </c>
    </row>
    <row r="19" spans="1:5" x14ac:dyDescent="0.25">
      <c r="A19">
        <f t="shared" ca="1" si="0"/>
        <v>37</v>
      </c>
      <c r="B19" t="s">
        <v>16</v>
      </c>
      <c r="C19" t="str">
        <f t="shared" ca="1" si="1"/>
        <v>NY</v>
      </c>
      <c r="D19" t="str">
        <f ca="1">_xlfn.XLOOKUP(Table3[[#This Row],[Customer ID]],Table4[Customer ID],Table4[Risk Score],"Not Found")</f>
        <v>Not Found</v>
      </c>
      <c r="E19" t="str">
        <f ca="1">IF(Table3[[#This Row],[Risk Score]]="High","Review","Normal")</f>
        <v>Normal</v>
      </c>
    </row>
    <row r="20" spans="1:5" x14ac:dyDescent="0.25">
      <c r="A20">
        <f t="shared" ca="1" si="0"/>
        <v>17</v>
      </c>
      <c r="B20" t="s">
        <v>17</v>
      </c>
      <c r="C20" t="str">
        <f t="shared" ca="1" si="1"/>
        <v>TN</v>
      </c>
      <c r="D20" t="str">
        <f ca="1">_xlfn.XLOOKUP(Table3[[#This Row],[Customer ID]],Table4[Customer ID],Table4[Risk Score],"Not Found")</f>
        <v>High</v>
      </c>
      <c r="E20" t="str">
        <f ca="1">IF(Table3[[#This Row],[Risk Score]]="High","Review","Normal")</f>
        <v>Review</v>
      </c>
    </row>
    <row r="21" spans="1:5" x14ac:dyDescent="0.25">
      <c r="A21">
        <f t="shared" ca="1" si="0"/>
        <v>42</v>
      </c>
      <c r="B21" t="s">
        <v>4</v>
      </c>
      <c r="C21" t="str">
        <f t="shared" ca="1" si="1"/>
        <v>NY</v>
      </c>
      <c r="D21" t="str">
        <f ca="1">_xlfn.XLOOKUP(Table3[[#This Row],[Customer ID]],Table4[Customer ID],Table4[Risk Score],"Not Found")</f>
        <v>Low</v>
      </c>
      <c r="E21" t="str">
        <f ca="1">IF(Table3[[#This Row],[Risk Score]]="High","Review","Normal")</f>
        <v>Normal</v>
      </c>
    </row>
    <row r="22" spans="1:5" x14ac:dyDescent="0.25">
      <c r="A22">
        <f t="shared" ca="1" si="0"/>
        <v>15</v>
      </c>
      <c r="B22" t="s">
        <v>7</v>
      </c>
      <c r="C22" t="str">
        <f t="shared" ca="1" si="1"/>
        <v>SC</v>
      </c>
      <c r="D22" t="str">
        <f ca="1">_xlfn.XLOOKUP(Table3[[#This Row],[Customer ID]],Table4[Customer ID],Table4[Risk Score],"Not Found")</f>
        <v>Low</v>
      </c>
      <c r="E22" t="str">
        <f ca="1">IF(Table3[[#This Row],[Risk Score]]="High","Review","Normal")</f>
        <v>Normal</v>
      </c>
    </row>
    <row r="23" spans="1:5" x14ac:dyDescent="0.25">
      <c r="A23">
        <f t="shared" ca="1" si="0"/>
        <v>17</v>
      </c>
      <c r="B23" t="s">
        <v>18</v>
      </c>
      <c r="C23" t="str">
        <f t="shared" ca="1" si="1"/>
        <v>TN</v>
      </c>
      <c r="D23" t="str">
        <f ca="1">_xlfn.XLOOKUP(Table3[[#This Row],[Customer ID]],Table4[Customer ID],Table4[Risk Score],"Not Found")</f>
        <v>High</v>
      </c>
      <c r="E23" t="str">
        <f ca="1">IF(Table3[[#This Row],[Risk Score]]="High","Review","Normal")</f>
        <v>Review</v>
      </c>
    </row>
    <row r="24" spans="1:5" x14ac:dyDescent="0.25">
      <c r="A24">
        <f t="shared" ca="1" si="0"/>
        <v>35</v>
      </c>
      <c r="B24" t="s">
        <v>15</v>
      </c>
      <c r="C24" t="str">
        <f t="shared" ca="1" si="1"/>
        <v>GA</v>
      </c>
      <c r="D24" t="str">
        <f ca="1">_xlfn.XLOOKUP(Table3[[#This Row],[Customer ID]],Table4[Customer ID],Table4[Risk Score],"Not Found")</f>
        <v>Low</v>
      </c>
      <c r="E24" t="str">
        <f ca="1">IF(Table3[[#This Row],[Risk Score]]="High","Review","Normal")</f>
        <v>Normal</v>
      </c>
    </row>
    <row r="25" spans="1:5" x14ac:dyDescent="0.25">
      <c r="A25">
        <f t="shared" ca="1" si="0"/>
        <v>35</v>
      </c>
      <c r="B25" t="s">
        <v>14</v>
      </c>
      <c r="C25" t="str">
        <f t="shared" ca="1" si="1"/>
        <v>NY</v>
      </c>
      <c r="D25" t="str">
        <f ca="1">_xlfn.XLOOKUP(Table3[[#This Row],[Customer ID]],Table4[Customer ID],Table4[Risk Score],"Not Found")</f>
        <v>Low</v>
      </c>
      <c r="E25" t="str">
        <f ca="1">IF(Table3[[#This Row],[Risk Score]]="High","Review","Normal")</f>
        <v>Normal</v>
      </c>
    </row>
    <row r="26" spans="1:5" x14ac:dyDescent="0.25">
      <c r="A26">
        <f t="shared" ca="1" si="0"/>
        <v>16</v>
      </c>
      <c r="B26" t="s">
        <v>17</v>
      </c>
      <c r="C26" t="str">
        <f t="shared" ca="1" si="1"/>
        <v>NY</v>
      </c>
      <c r="D26" t="str">
        <f ca="1">_xlfn.XLOOKUP(Table3[[#This Row],[Customer ID]],Table4[Customer ID],Table4[Risk Score],"Not Found")</f>
        <v>Not Found</v>
      </c>
      <c r="E26" t="str">
        <f ca="1">IF(Table3[[#This Row],[Risk Score]]="High","Review","Normal")</f>
        <v>Normal</v>
      </c>
    </row>
    <row r="27" spans="1:5" x14ac:dyDescent="0.25">
      <c r="A27">
        <f t="shared" ca="1" si="0"/>
        <v>46</v>
      </c>
      <c r="B27" t="s">
        <v>13</v>
      </c>
      <c r="C27" t="str">
        <f t="shared" ca="1" si="1"/>
        <v>GA</v>
      </c>
      <c r="D27" t="str">
        <f ca="1">_xlfn.XLOOKUP(Table3[[#This Row],[Customer ID]],Table4[Customer ID],Table4[Risk Score],"Not Found")</f>
        <v>Low</v>
      </c>
      <c r="E27" t="str">
        <f ca="1">IF(Table3[[#This Row],[Risk Score]]="High","Review","Normal")</f>
        <v>Normal</v>
      </c>
    </row>
    <row r="28" spans="1:5" x14ac:dyDescent="0.25">
      <c r="A28">
        <f t="shared" ca="1" si="0"/>
        <v>46</v>
      </c>
      <c r="B28" t="s">
        <v>19</v>
      </c>
      <c r="C28" t="str">
        <f t="shared" ca="1" si="1"/>
        <v>NC</v>
      </c>
      <c r="D28" t="str">
        <f ca="1">_xlfn.XLOOKUP(Table3[[#This Row],[Customer ID]],Table4[Customer ID],Table4[Risk Score],"Not Found")</f>
        <v>Low</v>
      </c>
      <c r="E28" t="str">
        <f ca="1">IF(Table3[[#This Row],[Risk Score]]="High","Review","Normal")</f>
        <v>Normal</v>
      </c>
    </row>
    <row r="29" spans="1:5" x14ac:dyDescent="0.25">
      <c r="A29">
        <f t="shared" ca="1" si="0"/>
        <v>11</v>
      </c>
      <c r="B29" t="s">
        <v>14</v>
      </c>
      <c r="C29" t="str">
        <f t="shared" ca="1" si="1"/>
        <v>NC</v>
      </c>
      <c r="D29" t="str">
        <f ca="1">_xlfn.XLOOKUP(Table3[[#This Row],[Customer ID]],Table4[Customer ID],Table4[Risk Score],"Not Found")</f>
        <v>Medium</v>
      </c>
      <c r="E29" t="str">
        <f ca="1">IF(Table3[[#This Row],[Risk Score]]="High","Review","Normal")</f>
        <v>Normal</v>
      </c>
    </row>
    <row r="30" spans="1:5" x14ac:dyDescent="0.25">
      <c r="A30">
        <f t="shared" ca="1" si="0"/>
        <v>6</v>
      </c>
      <c r="B30" t="s">
        <v>11</v>
      </c>
      <c r="C30" t="str">
        <f t="shared" ca="1" si="1"/>
        <v>SC</v>
      </c>
      <c r="D30" t="str">
        <f ca="1">_xlfn.XLOOKUP(Table3[[#This Row],[Customer ID]],Table4[Customer ID],Table4[Risk Score],"Not Found")</f>
        <v>Not Found</v>
      </c>
      <c r="E30" t="str">
        <f ca="1">IF(Table3[[#This Row],[Risk Score]]="High","Review","Normal")</f>
        <v>Normal</v>
      </c>
    </row>
    <row r="31" spans="1:5" x14ac:dyDescent="0.25">
      <c r="A31">
        <f t="shared" ca="1" si="0"/>
        <v>37</v>
      </c>
      <c r="B31" t="s">
        <v>10</v>
      </c>
      <c r="C31" t="str">
        <f t="shared" ca="1" si="1"/>
        <v>NY</v>
      </c>
      <c r="D31" t="str">
        <f ca="1">_xlfn.XLOOKUP(Table3[[#This Row],[Customer ID]],Table4[Customer ID],Table4[Risk Score],"Not Found")</f>
        <v>Not Found</v>
      </c>
      <c r="E31" t="str">
        <f ca="1">IF(Table3[[#This Row],[Risk Score]]="High","Review","Normal")</f>
        <v>Normal</v>
      </c>
    </row>
    <row r="32" spans="1:5" x14ac:dyDescent="0.25">
      <c r="A32">
        <f t="shared" ca="1" si="0"/>
        <v>4</v>
      </c>
      <c r="B32" t="s">
        <v>6</v>
      </c>
      <c r="C32" t="str">
        <f t="shared" ca="1" si="1"/>
        <v>NY</v>
      </c>
      <c r="D32" t="str">
        <f ca="1">_xlfn.XLOOKUP(Table3[[#This Row],[Customer ID]],Table4[Customer ID],Table4[Risk Score],"Not Found")</f>
        <v>High</v>
      </c>
      <c r="E32" t="str">
        <f ca="1">IF(Table3[[#This Row],[Risk Score]]="High","Review","Normal")</f>
        <v>Review</v>
      </c>
    </row>
    <row r="33" spans="1:5" x14ac:dyDescent="0.25">
      <c r="A33">
        <f t="shared" ca="1" si="0"/>
        <v>9</v>
      </c>
      <c r="B33" t="s">
        <v>14</v>
      </c>
      <c r="C33" t="str">
        <f t="shared" ca="1" si="1"/>
        <v>SC</v>
      </c>
      <c r="D33" t="str">
        <f ca="1">_xlfn.XLOOKUP(Table3[[#This Row],[Customer ID]],Table4[Customer ID],Table4[Risk Score],"Not Found")</f>
        <v>Not Found</v>
      </c>
      <c r="E33" t="str">
        <f ca="1">IF(Table3[[#This Row],[Risk Score]]="High","Review","Normal")</f>
        <v>Normal</v>
      </c>
    </row>
    <row r="34" spans="1:5" x14ac:dyDescent="0.25">
      <c r="A34">
        <f t="shared" ca="1" si="0"/>
        <v>24</v>
      </c>
      <c r="B34" t="s">
        <v>12</v>
      </c>
      <c r="C34" t="str">
        <f t="shared" ca="1" si="1"/>
        <v>SC</v>
      </c>
      <c r="D34" t="str">
        <f ca="1">_xlfn.XLOOKUP(Table3[[#This Row],[Customer ID]],Table4[Customer ID],Table4[Risk Score],"Not Found")</f>
        <v>Not Found</v>
      </c>
      <c r="E34" t="str">
        <f ca="1">IF(Table3[[#This Row],[Risk Score]]="High","Review","Normal")</f>
        <v>Normal</v>
      </c>
    </row>
    <row r="35" spans="1:5" x14ac:dyDescent="0.25">
      <c r="A35">
        <f t="shared" ca="1" si="0"/>
        <v>15</v>
      </c>
      <c r="B35" t="s">
        <v>14</v>
      </c>
      <c r="C35" t="str">
        <f t="shared" ca="1" si="1"/>
        <v>SC</v>
      </c>
      <c r="D35" t="str">
        <f ca="1">_xlfn.XLOOKUP(Table3[[#This Row],[Customer ID]],Table4[Customer ID],Table4[Risk Score],"Not Found")</f>
        <v>Low</v>
      </c>
      <c r="E35" t="str">
        <f ca="1">IF(Table3[[#This Row],[Risk Score]]="High","Review","Normal")</f>
        <v>Normal</v>
      </c>
    </row>
    <row r="36" spans="1:5" x14ac:dyDescent="0.25">
      <c r="A36">
        <f t="shared" ca="1" si="0"/>
        <v>50</v>
      </c>
      <c r="B36" t="s">
        <v>20</v>
      </c>
      <c r="C36" t="str">
        <f t="shared" ca="1" si="1"/>
        <v>TN</v>
      </c>
      <c r="D36" t="str">
        <f ca="1">_xlfn.XLOOKUP(Table3[[#This Row],[Customer ID]],Table4[Customer ID],Table4[Risk Score],"Not Found")</f>
        <v>Low</v>
      </c>
      <c r="E36" t="str">
        <f ca="1">IF(Table3[[#This Row],[Risk Score]]="High","Review","Normal")</f>
        <v>Normal</v>
      </c>
    </row>
    <row r="37" spans="1:5" x14ac:dyDescent="0.25">
      <c r="A37">
        <f t="shared" ca="1" si="0"/>
        <v>30</v>
      </c>
      <c r="B37" t="s">
        <v>13</v>
      </c>
      <c r="C37" t="str">
        <f t="shared" ca="1" si="1"/>
        <v>TN</v>
      </c>
      <c r="D37" t="str">
        <f ca="1">_xlfn.XLOOKUP(Table3[[#This Row],[Customer ID]],Table4[Customer ID],Table4[Risk Score],"Not Found")</f>
        <v>High</v>
      </c>
      <c r="E37" t="str">
        <f ca="1">IF(Table3[[#This Row],[Risk Score]]="High","Review","Normal")</f>
        <v>Review</v>
      </c>
    </row>
    <row r="38" spans="1:5" x14ac:dyDescent="0.25">
      <c r="A38">
        <f t="shared" ca="1" si="0"/>
        <v>6</v>
      </c>
      <c r="B38" t="s">
        <v>12</v>
      </c>
      <c r="C38" t="str">
        <f t="shared" ca="1" si="1"/>
        <v>NC</v>
      </c>
      <c r="D38" t="str">
        <f ca="1">_xlfn.XLOOKUP(Table3[[#This Row],[Customer ID]],Table4[Customer ID],Table4[Risk Score],"Not Found")</f>
        <v>Not Found</v>
      </c>
      <c r="E38" t="str">
        <f ca="1">IF(Table3[[#This Row],[Risk Score]]="High","Review","Normal")</f>
        <v>Normal</v>
      </c>
    </row>
    <row r="39" spans="1:5" x14ac:dyDescent="0.25">
      <c r="A39">
        <f t="shared" ca="1" si="0"/>
        <v>32</v>
      </c>
      <c r="B39" t="s">
        <v>7</v>
      </c>
      <c r="C39" t="str">
        <f t="shared" ca="1" si="1"/>
        <v>TN</v>
      </c>
      <c r="D39" t="str">
        <f ca="1">_xlfn.XLOOKUP(Table3[[#This Row],[Customer ID]],Table4[Customer ID],Table4[Risk Score],"Not Found")</f>
        <v>Medium</v>
      </c>
      <c r="E39" t="str">
        <f ca="1">IF(Table3[[#This Row],[Risk Score]]="High","Review","Normal")</f>
        <v>Normal</v>
      </c>
    </row>
    <row r="40" spans="1:5" x14ac:dyDescent="0.25">
      <c r="A40">
        <f t="shared" ca="1" si="0"/>
        <v>28</v>
      </c>
      <c r="B40" t="s">
        <v>4</v>
      </c>
      <c r="C40" t="str">
        <f t="shared" ca="1" si="1"/>
        <v>NC</v>
      </c>
      <c r="D40" t="str">
        <f ca="1">_xlfn.XLOOKUP(Table3[[#This Row],[Customer ID]],Table4[Customer ID],Table4[Risk Score],"Not Found")</f>
        <v>Not Found</v>
      </c>
      <c r="E40" t="str">
        <f ca="1">IF(Table3[[#This Row],[Risk Score]]="High","Review","Normal")</f>
        <v>Normal</v>
      </c>
    </row>
    <row r="41" spans="1:5" x14ac:dyDescent="0.25">
      <c r="A41">
        <f t="shared" ca="1" si="0"/>
        <v>9</v>
      </c>
      <c r="B41" t="s">
        <v>21</v>
      </c>
      <c r="C41" t="str">
        <f t="shared" ca="1" si="1"/>
        <v>GA</v>
      </c>
      <c r="D41" t="str">
        <f ca="1">_xlfn.XLOOKUP(Table3[[#This Row],[Customer ID]],Table4[Customer ID],Table4[Risk Score],"Not Found")</f>
        <v>Not Found</v>
      </c>
      <c r="E41" t="str">
        <f ca="1">IF(Table3[[#This Row],[Risk Score]]="High","Review","Normal")</f>
        <v>Normal</v>
      </c>
    </row>
    <row r="42" spans="1:5" x14ac:dyDescent="0.25">
      <c r="A42">
        <f t="shared" ca="1" si="0"/>
        <v>15</v>
      </c>
      <c r="B42" t="s">
        <v>22</v>
      </c>
      <c r="C42" t="str">
        <f t="shared" ca="1" si="1"/>
        <v>GA</v>
      </c>
      <c r="D42" t="str">
        <f ca="1">_xlfn.XLOOKUP(Table3[[#This Row],[Customer ID]],Table4[Customer ID],Table4[Risk Score],"Not Found")</f>
        <v>Low</v>
      </c>
      <c r="E42" t="str">
        <f ca="1">IF(Table3[[#This Row],[Risk Score]]="High","Review","Normal")</f>
        <v>Normal</v>
      </c>
    </row>
    <row r="43" spans="1:5" x14ac:dyDescent="0.25">
      <c r="A43">
        <f t="shared" ca="1" si="0"/>
        <v>32</v>
      </c>
      <c r="B43" t="s">
        <v>23</v>
      </c>
      <c r="C43" t="str">
        <f t="shared" ca="1" si="1"/>
        <v>GA</v>
      </c>
      <c r="D43" t="str">
        <f ca="1">_xlfn.XLOOKUP(Table3[[#This Row],[Customer ID]],Table4[Customer ID],Table4[Risk Score],"Not Found")</f>
        <v>Medium</v>
      </c>
      <c r="E43" t="str">
        <f ca="1">IF(Table3[[#This Row],[Risk Score]]="High","Review","Normal")</f>
        <v>Normal</v>
      </c>
    </row>
    <row r="44" spans="1:5" x14ac:dyDescent="0.25">
      <c r="A44">
        <f t="shared" ca="1" si="0"/>
        <v>14</v>
      </c>
      <c r="B44" t="s">
        <v>24</v>
      </c>
      <c r="C44" t="str">
        <f t="shared" ca="1" si="1"/>
        <v>NY</v>
      </c>
      <c r="D44" t="str">
        <f ca="1">_xlfn.XLOOKUP(Table3[[#This Row],[Customer ID]],Table4[Customer ID],Table4[Risk Score],"Not Found")</f>
        <v>Medium</v>
      </c>
      <c r="E44" t="str">
        <f ca="1">IF(Table3[[#This Row],[Risk Score]]="High","Review","Normal")</f>
        <v>Normal</v>
      </c>
    </row>
    <row r="45" spans="1:5" x14ac:dyDescent="0.25">
      <c r="A45">
        <f t="shared" ca="1" si="0"/>
        <v>1</v>
      </c>
      <c r="B45" t="s">
        <v>15</v>
      </c>
      <c r="C45" t="str">
        <f t="shared" ca="1" si="1"/>
        <v>GA</v>
      </c>
      <c r="D45" t="str">
        <f ca="1">_xlfn.XLOOKUP(Table3[[#This Row],[Customer ID]],Table4[Customer ID],Table4[Risk Score],"Not Found")</f>
        <v>High</v>
      </c>
      <c r="E45" t="str">
        <f ca="1">IF(Table3[[#This Row],[Risk Score]]="High","Review","Normal")</f>
        <v>Review</v>
      </c>
    </row>
    <row r="46" spans="1:5" x14ac:dyDescent="0.25">
      <c r="A46">
        <f t="shared" ca="1" si="0"/>
        <v>3</v>
      </c>
      <c r="B46" t="s">
        <v>7</v>
      </c>
      <c r="C46" t="str">
        <f t="shared" ca="1" si="1"/>
        <v>TN</v>
      </c>
      <c r="D46" t="str">
        <f ca="1">_xlfn.XLOOKUP(Table3[[#This Row],[Customer ID]],Table4[Customer ID],Table4[Risk Score],"Not Found")</f>
        <v>Medium</v>
      </c>
      <c r="E46" t="str">
        <f ca="1">IF(Table3[[#This Row],[Risk Score]]="High","Review","Normal")</f>
        <v>Normal</v>
      </c>
    </row>
    <row r="47" spans="1:5" x14ac:dyDescent="0.25">
      <c r="A47">
        <f t="shared" ca="1" si="0"/>
        <v>9</v>
      </c>
      <c r="B47" t="s">
        <v>16</v>
      </c>
      <c r="C47" t="str">
        <f t="shared" ca="1" si="1"/>
        <v>TN</v>
      </c>
      <c r="D47" t="str">
        <f ca="1">_xlfn.XLOOKUP(Table3[[#This Row],[Customer ID]],Table4[Customer ID],Table4[Risk Score],"Not Found")</f>
        <v>Not Found</v>
      </c>
      <c r="E47" t="str">
        <f ca="1">IF(Table3[[#This Row],[Risk Score]]="High","Review","Normal")</f>
        <v>Normal</v>
      </c>
    </row>
    <row r="48" spans="1:5" x14ac:dyDescent="0.25">
      <c r="A48">
        <f t="shared" ca="1" si="0"/>
        <v>19</v>
      </c>
      <c r="B48" t="s">
        <v>14</v>
      </c>
      <c r="C48" t="str">
        <f t="shared" ca="1" si="1"/>
        <v>SC</v>
      </c>
      <c r="D48" t="str">
        <f ca="1">_xlfn.XLOOKUP(Table3[[#This Row],[Customer ID]],Table4[Customer ID],Table4[Risk Score],"Not Found")</f>
        <v>Medium</v>
      </c>
      <c r="E48" t="str">
        <f ca="1">IF(Table3[[#This Row],[Risk Score]]="High","Review","Normal")</f>
        <v>Normal</v>
      </c>
    </row>
    <row r="49" spans="1:5" x14ac:dyDescent="0.25">
      <c r="A49">
        <f t="shared" ca="1" si="0"/>
        <v>11</v>
      </c>
      <c r="B49" t="s">
        <v>12</v>
      </c>
      <c r="C49" t="str">
        <f ca="1">CHOOSE(RANDBETWEEN(1,5),$L$2,$M$2,$N$2,$O$2,$P$2)</f>
        <v>SC</v>
      </c>
      <c r="D49" t="str">
        <f ca="1">_xlfn.XLOOKUP(Table3[[#This Row],[Customer ID]],Table4[Customer ID],Table4[Risk Score],"Not Found")</f>
        <v>Medium</v>
      </c>
      <c r="E49" t="str">
        <f ca="1">IF(Table3[[#This Row],[Risk Score]]="High","Review","Normal")</f>
        <v>Normal</v>
      </c>
    </row>
    <row r="50" spans="1:5" x14ac:dyDescent="0.25">
      <c r="A50">
        <f t="shared" ca="1" si="0"/>
        <v>44</v>
      </c>
      <c r="B50" t="s">
        <v>50</v>
      </c>
      <c r="C50" t="str">
        <f ca="1">CHOOSE(RANDBETWEEN(1,5),$L$2,$M$2,$N$2,$O$2,$P$2)</f>
        <v>NY</v>
      </c>
      <c r="D50" t="str">
        <f ca="1">_xlfn.XLOOKUP(Table3[[#This Row],[Customer ID]],Table4[Customer ID],Table4[Risk Score],"Not Found")</f>
        <v>Medium</v>
      </c>
      <c r="E50" t="str">
        <f ca="1">IF(Table3[[#This Row],[Risk Score]]="High","Review","Normal")</f>
        <v>Normal</v>
      </c>
    </row>
    <row r="51" spans="1:5" x14ac:dyDescent="0.25">
      <c r="A51">
        <f ca="1">RANDBETWEEN(1,50)</f>
        <v>44</v>
      </c>
      <c r="B51" t="s">
        <v>51</v>
      </c>
      <c r="C51" t="str">
        <f ca="1">CHOOSE(RANDBETWEEN(1,5),$L$2,$M$2,$N$2,$O$2,$P$2)</f>
        <v>SC</v>
      </c>
      <c r="D51" t="str">
        <f ca="1">_xlfn.XLOOKUP(Table3[[#This Row],[Customer ID]],Table4[Customer ID],Table4[Risk Score],"Not Found")</f>
        <v>Medium</v>
      </c>
      <c r="E51" t="str">
        <f ca="1">IF(Table3[[#This Row],[Risk Score]]="High","Review","Normal")</f>
        <v>Normal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7AA1-7D4E-4F16-A06F-E5CCF6314407}">
  <dimension ref="A1:D9"/>
  <sheetViews>
    <sheetView workbookViewId="0"/>
  </sheetViews>
  <sheetFormatPr defaultRowHeight="15" x14ac:dyDescent="0.25"/>
  <cols>
    <col min="1" max="1" width="13.42578125" bestFit="1" customWidth="1"/>
    <col min="2" max="2" width="14.140625" bestFit="1" customWidth="1"/>
    <col min="4" max="4" width="23.5703125" bestFit="1" customWidth="1"/>
  </cols>
  <sheetData>
    <row r="1" spans="1:4" x14ac:dyDescent="0.25">
      <c r="D1" t="s">
        <v>38</v>
      </c>
    </row>
    <row r="3" spans="1:4" x14ac:dyDescent="0.25">
      <c r="A3" s="3" t="s">
        <v>39</v>
      </c>
      <c r="B3" t="s">
        <v>41</v>
      </c>
    </row>
    <row r="4" spans="1:4" x14ac:dyDescent="0.25">
      <c r="A4" s="4" t="s">
        <v>26</v>
      </c>
      <c r="B4">
        <v>14</v>
      </c>
    </row>
    <row r="5" spans="1:4" x14ac:dyDescent="0.25">
      <c r="A5" s="4" t="s">
        <v>25</v>
      </c>
      <c r="B5">
        <v>10</v>
      </c>
    </row>
    <row r="6" spans="1:4" x14ac:dyDescent="0.25">
      <c r="A6" s="4" t="s">
        <v>29</v>
      </c>
      <c r="B6">
        <v>3</v>
      </c>
    </row>
    <row r="7" spans="1:4" x14ac:dyDescent="0.25">
      <c r="A7" s="4" t="s">
        <v>27</v>
      </c>
      <c r="B7">
        <v>10</v>
      </c>
    </row>
    <row r="8" spans="1:4" x14ac:dyDescent="0.25">
      <c r="A8" s="4" t="s">
        <v>28</v>
      </c>
      <c r="B8">
        <v>11</v>
      </c>
    </row>
    <row r="9" spans="1:4" x14ac:dyDescent="0.25">
      <c r="A9" s="4" t="s">
        <v>40</v>
      </c>
      <c r="B9">
        <v>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6664-B1F7-41D7-9EBF-825346577D44}">
  <dimension ref="A1:M50"/>
  <sheetViews>
    <sheetView workbookViewId="0">
      <selection activeCell="C18" sqref="C18"/>
    </sheetView>
  </sheetViews>
  <sheetFormatPr defaultRowHeight="15" x14ac:dyDescent="0.25"/>
  <cols>
    <col min="1" max="1" width="14.5703125" customWidth="1"/>
    <col min="2" max="2" width="12.5703125" customWidth="1"/>
    <col min="11" max="11" width="4.42578125" bestFit="1" customWidth="1"/>
    <col min="12" max="12" width="5" bestFit="1" customWidth="1"/>
    <col min="13" max="13" width="8.140625" bestFit="1" customWidth="1"/>
  </cols>
  <sheetData>
    <row r="1" spans="1:13" x14ac:dyDescent="0.25">
      <c r="A1" t="s">
        <v>30</v>
      </c>
    </row>
    <row r="2" spans="1:13" x14ac:dyDescent="0.25">
      <c r="A2" t="s">
        <v>0</v>
      </c>
      <c r="B2" t="s">
        <v>31</v>
      </c>
      <c r="K2" t="s">
        <v>32</v>
      </c>
      <c r="L2" t="s">
        <v>33</v>
      </c>
      <c r="M2" t="s">
        <v>34</v>
      </c>
    </row>
    <row r="3" spans="1:13" x14ac:dyDescent="0.25">
      <c r="A3">
        <f ca="1">RANDBETWEEN(1,50)</f>
        <v>47</v>
      </c>
      <c r="B3" t="str">
        <f ca="1">CHOOSE(RANDBETWEEN(1,3),$K$2,$L$2,$M$2)</f>
        <v>Low</v>
      </c>
    </row>
    <row r="4" spans="1:13" x14ac:dyDescent="0.25">
      <c r="A4">
        <f t="shared" ref="A4:A50" ca="1" si="0">RANDBETWEEN(1,50)</f>
        <v>32</v>
      </c>
      <c r="B4" t="str">
        <f t="shared" ref="B4:B50" ca="1" si="1">CHOOSE(RANDBETWEEN(1,3),$K$2,$L$2,$M$2)</f>
        <v>Medium</v>
      </c>
    </row>
    <row r="5" spans="1:13" x14ac:dyDescent="0.25">
      <c r="A5">
        <f ca="1">RANDBETWEEN(1,50)</f>
        <v>7</v>
      </c>
      <c r="B5" t="str">
        <f t="shared" ca="1" si="1"/>
        <v>High</v>
      </c>
    </row>
    <row r="6" spans="1:13" x14ac:dyDescent="0.25">
      <c r="A6">
        <f t="shared" ca="1" si="0"/>
        <v>45</v>
      </c>
      <c r="B6" t="str">
        <f t="shared" ca="1" si="1"/>
        <v>Medium</v>
      </c>
    </row>
    <row r="7" spans="1:13" x14ac:dyDescent="0.25">
      <c r="A7">
        <f t="shared" ca="1" si="0"/>
        <v>2</v>
      </c>
      <c r="B7" t="str">
        <f t="shared" ca="1" si="1"/>
        <v>Low</v>
      </c>
    </row>
    <row r="8" spans="1:13" x14ac:dyDescent="0.25">
      <c r="A8">
        <f t="shared" ca="1" si="0"/>
        <v>3</v>
      </c>
      <c r="B8" t="str">
        <f t="shared" ca="1" si="1"/>
        <v>Medium</v>
      </c>
    </row>
    <row r="9" spans="1:13" x14ac:dyDescent="0.25">
      <c r="A9">
        <f t="shared" ca="1" si="0"/>
        <v>46</v>
      </c>
      <c r="B9" t="str">
        <f t="shared" ca="1" si="1"/>
        <v>Low</v>
      </c>
    </row>
    <row r="10" spans="1:13" x14ac:dyDescent="0.25">
      <c r="A10">
        <f t="shared" ca="1" si="0"/>
        <v>44</v>
      </c>
      <c r="B10" t="str">
        <f t="shared" ca="1" si="1"/>
        <v>Medium</v>
      </c>
    </row>
    <row r="11" spans="1:13" x14ac:dyDescent="0.25">
      <c r="A11">
        <f t="shared" ca="1" si="0"/>
        <v>44</v>
      </c>
      <c r="B11" t="str">
        <f ca="1">CHOOSE(RANDBETWEEN(1,3),$K$2,$L$2,$M$2)</f>
        <v>High</v>
      </c>
    </row>
    <row r="12" spans="1:13" x14ac:dyDescent="0.25">
      <c r="A12">
        <f t="shared" ca="1" si="0"/>
        <v>40</v>
      </c>
      <c r="B12" t="str">
        <f t="shared" ca="1" si="1"/>
        <v>Medium</v>
      </c>
    </row>
    <row r="13" spans="1:13" x14ac:dyDescent="0.25">
      <c r="A13">
        <f t="shared" ca="1" si="0"/>
        <v>15</v>
      </c>
      <c r="B13" t="str">
        <f t="shared" ca="1" si="1"/>
        <v>Low</v>
      </c>
    </row>
    <row r="14" spans="1:13" x14ac:dyDescent="0.25">
      <c r="A14">
        <f t="shared" ca="1" si="0"/>
        <v>4</v>
      </c>
      <c r="B14" t="str">
        <f ca="1">CHOOSE(RANDBETWEEN(1,3),$K$2,$L$2,$M$2)</f>
        <v>High</v>
      </c>
    </row>
    <row r="15" spans="1:13" x14ac:dyDescent="0.25">
      <c r="A15">
        <f t="shared" ca="1" si="0"/>
        <v>15</v>
      </c>
      <c r="B15" t="str">
        <f t="shared" ca="1" si="1"/>
        <v>Low</v>
      </c>
    </row>
    <row r="16" spans="1:13" x14ac:dyDescent="0.25">
      <c r="A16">
        <f t="shared" ca="1" si="0"/>
        <v>32</v>
      </c>
      <c r="B16" t="str">
        <f t="shared" ca="1" si="1"/>
        <v>High</v>
      </c>
    </row>
    <row r="17" spans="1:2" x14ac:dyDescent="0.25">
      <c r="A17">
        <f t="shared" ca="1" si="0"/>
        <v>43</v>
      </c>
      <c r="B17" t="str">
        <f t="shared" ca="1" si="1"/>
        <v>Medium</v>
      </c>
    </row>
    <row r="18" spans="1:2" x14ac:dyDescent="0.25">
      <c r="A18">
        <f t="shared" ca="1" si="0"/>
        <v>32</v>
      </c>
      <c r="B18" t="str">
        <f t="shared" ca="1" si="1"/>
        <v>High</v>
      </c>
    </row>
    <row r="19" spans="1:2" x14ac:dyDescent="0.25">
      <c r="A19">
        <f t="shared" ca="1" si="0"/>
        <v>11</v>
      </c>
      <c r="B19" t="str">
        <f t="shared" ca="1" si="1"/>
        <v>Medium</v>
      </c>
    </row>
    <row r="20" spans="1:2" x14ac:dyDescent="0.25">
      <c r="A20">
        <f t="shared" ca="1" si="0"/>
        <v>20</v>
      </c>
      <c r="B20" t="str">
        <f t="shared" ca="1" si="1"/>
        <v>High</v>
      </c>
    </row>
    <row r="21" spans="1:2" x14ac:dyDescent="0.25">
      <c r="A21">
        <f t="shared" ca="1" si="0"/>
        <v>31</v>
      </c>
      <c r="B21" t="str">
        <f t="shared" ca="1" si="1"/>
        <v>Low</v>
      </c>
    </row>
    <row r="22" spans="1:2" x14ac:dyDescent="0.25">
      <c r="A22">
        <f t="shared" ca="1" si="0"/>
        <v>2</v>
      </c>
      <c r="B22" t="str">
        <f t="shared" ca="1" si="1"/>
        <v>Medium</v>
      </c>
    </row>
    <row r="23" spans="1:2" x14ac:dyDescent="0.25">
      <c r="A23">
        <f t="shared" ca="1" si="0"/>
        <v>18</v>
      </c>
      <c r="B23" t="str">
        <f t="shared" ca="1" si="1"/>
        <v>High</v>
      </c>
    </row>
    <row r="24" spans="1:2" x14ac:dyDescent="0.25">
      <c r="A24">
        <f t="shared" ca="1" si="0"/>
        <v>22</v>
      </c>
      <c r="B24" t="str">
        <f t="shared" ca="1" si="1"/>
        <v>Low</v>
      </c>
    </row>
    <row r="25" spans="1:2" x14ac:dyDescent="0.25">
      <c r="A25">
        <f t="shared" ca="1" si="0"/>
        <v>14</v>
      </c>
      <c r="B25" t="str">
        <f t="shared" ca="1" si="1"/>
        <v>Medium</v>
      </c>
    </row>
    <row r="26" spans="1:2" x14ac:dyDescent="0.25">
      <c r="A26">
        <f t="shared" ca="1" si="0"/>
        <v>1</v>
      </c>
      <c r="B26" t="str">
        <f t="shared" ca="1" si="1"/>
        <v>High</v>
      </c>
    </row>
    <row r="27" spans="1:2" x14ac:dyDescent="0.25">
      <c r="A27">
        <f t="shared" ca="1" si="0"/>
        <v>49</v>
      </c>
      <c r="B27" t="str">
        <f t="shared" ca="1" si="1"/>
        <v>Medium</v>
      </c>
    </row>
    <row r="28" spans="1:2" x14ac:dyDescent="0.25">
      <c r="A28">
        <f t="shared" ca="1" si="0"/>
        <v>15</v>
      </c>
      <c r="B28" t="str">
        <f t="shared" ca="1" si="1"/>
        <v>Medium</v>
      </c>
    </row>
    <row r="29" spans="1:2" x14ac:dyDescent="0.25">
      <c r="A29">
        <f t="shared" ca="1" si="0"/>
        <v>19</v>
      </c>
      <c r="B29" t="str">
        <f t="shared" ca="1" si="1"/>
        <v>Medium</v>
      </c>
    </row>
    <row r="30" spans="1:2" x14ac:dyDescent="0.25">
      <c r="A30">
        <f t="shared" ca="1" si="0"/>
        <v>35</v>
      </c>
      <c r="B30" t="str">
        <f t="shared" ca="1" si="1"/>
        <v>Low</v>
      </c>
    </row>
    <row r="31" spans="1:2" x14ac:dyDescent="0.25">
      <c r="A31">
        <f t="shared" ca="1" si="0"/>
        <v>42</v>
      </c>
      <c r="B31" t="str">
        <f t="shared" ca="1" si="1"/>
        <v>Low</v>
      </c>
    </row>
    <row r="32" spans="1:2" x14ac:dyDescent="0.25">
      <c r="A32">
        <f t="shared" ca="1" si="0"/>
        <v>18</v>
      </c>
      <c r="B32" t="str">
        <f t="shared" ca="1" si="1"/>
        <v>High</v>
      </c>
    </row>
    <row r="33" spans="1:2" x14ac:dyDescent="0.25">
      <c r="A33">
        <f t="shared" ca="1" si="0"/>
        <v>12</v>
      </c>
      <c r="B33" t="str">
        <f t="shared" ca="1" si="1"/>
        <v>Medium</v>
      </c>
    </row>
    <row r="34" spans="1:2" x14ac:dyDescent="0.25">
      <c r="A34">
        <f t="shared" ca="1" si="0"/>
        <v>42</v>
      </c>
      <c r="B34" t="str">
        <f t="shared" ca="1" si="1"/>
        <v>High</v>
      </c>
    </row>
    <row r="35" spans="1:2" x14ac:dyDescent="0.25">
      <c r="A35">
        <f t="shared" ca="1" si="0"/>
        <v>27</v>
      </c>
      <c r="B35" t="str">
        <f t="shared" ca="1" si="1"/>
        <v>Medium</v>
      </c>
    </row>
    <row r="36" spans="1:2" x14ac:dyDescent="0.25">
      <c r="A36">
        <f t="shared" ca="1" si="0"/>
        <v>29</v>
      </c>
      <c r="B36" t="str">
        <f t="shared" ca="1" si="1"/>
        <v>High</v>
      </c>
    </row>
    <row r="37" spans="1:2" x14ac:dyDescent="0.25">
      <c r="A37">
        <f t="shared" ca="1" si="0"/>
        <v>31</v>
      </c>
      <c r="B37" t="str">
        <f t="shared" ca="1" si="1"/>
        <v>Medium</v>
      </c>
    </row>
    <row r="38" spans="1:2" x14ac:dyDescent="0.25">
      <c r="A38">
        <f t="shared" ca="1" si="0"/>
        <v>11</v>
      </c>
      <c r="B38" t="str">
        <f t="shared" ca="1" si="1"/>
        <v>High</v>
      </c>
    </row>
    <row r="39" spans="1:2" x14ac:dyDescent="0.25">
      <c r="A39">
        <f t="shared" ca="1" si="0"/>
        <v>26</v>
      </c>
      <c r="B39" t="str">
        <f t="shared" ca="1" si="1"/>
        <v>High</v>
      </c>
    </row>
    <row r="40" spans="1:2" x14ac:dyDescent="0.25">
      <c r="A40">
        <f t="shared" ca="1" si="0"/>
        <v>8</v>
      </c>
      <c r="B40" t="str">
        <f t="shared" ca="1" si="1"/>
        <v>Medium</v>
      </c>
    </row>
    <row r="41" spans="1:2" x14ac:dyDescent="0.25">
      <c r="A41">
        <f t="shared" ca="1" si="0"/>
        <v>17</v>
      </c>
      <c r="B41" t="str">
        <f t="shared" ca="1" si="1"/>
        <v>High</v>
      </c>
    </row>
    <row r="42" spans="1:2" x14ac:dyDescent="0.25">
      <c r="A42">
        <f t="shared" ca="1" si="0"/>
        <v>14</v>
      </c>
      <c r="B42" t="str">
        <f t="shared" ca="1" si="1"/>
        <v>Low</v>
      </c>
    </row>
    <row r="43" spans="1:2" x14ac:dyDescent="0.25">
      <c r="A43">
        <f t="shared" ca="1" si="0"/>
        <v>43</v>
      </c>
      <c r="B43" t="str">
        <f t="shared" ca="1" si="1"/>
        <v>Medium</v>
      </c>
    </row>
    <row r="44" spans="1:2" x14ac:dyDescent="0.25">
      <c r="A44">
        <f t="shared" ca="1" si="0"/>
        <v>38</v>
      </c>
      <c r="B44" t="str">
        <f t="shared" ca="1" si="1"/>
        <v>Low</v>
      </c>
    </row>
    <row r="45" spans="1:2" x14ac:dyDescent="0.25">
      <c r="A45">
        <f t="shared" ca="1" si="0"/>
        <v>50</v>
      </c>
      <c r="B45" t="str">
        <f t="shared" ca="1" si="1"/>
        <v>Low</v>
      </c>
    </row>
    <row r="46" spans="1:2" x14ac:dyDescent="0.25">
      <c r="A46">
        <f t="shared" ca="1" si="0"/>
        <v>14</v>
      </c>
      <c r="B46" t="str">
        <f t="shared" ca="1" si="1"/>
        <v>High</v>
      </c>
    </row>
    <row r="47" spans="1:2" x14ac:dyDescent="0.25">
      <c r="A47">
        <f t="shared" ca="1" si="0"/>
        <v>30</v>
      </c>
      <c r="B47" t="str">
        <f t="shared" ca="1" si="1"/>
        <v>High</v>
      </c>
    </row>
    <row r="48" spans="1:2" x14ac:dyDescent="0.25">
      <c r="A48">
        <f t="shared" ca="1" si="0"/>
        <v>4</v>
      </c>
      <c r="B48" t="str">
        <f t="shared" ca="1" si="1"/>
        <v>Low</v>
      </c>
    </row>
    <row r="49" spans="1:2" x14ac:dyDescent="0.25">
      <c r="A49">
        <f t="shared" ca="1" si="0"/>
        <v>10</v>
      </c>
      <c r="B49" t="str">
        <f t="shared" ca="1" si="1"/>
        <v>Low</v>
      </c>
    </row>
    <row r="50" spans="1:2" x14ac:dyDescent="0.25">
      <c r="A50">
        <f t="shared" ca="1" si="0"/>
        <v>12</v>
      </c>
      <c r="B50" t="str">
        <f t="shared" ca="1" si="1"/>
        <v>Low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D9EE-0A47-46B6-9E3A-7B9A42416E68}">
  <dimension ref="A1:H9"/>
  <sheetViews>
    <sheetView tabSelected="1" workbookViewId="0">
      <selection activeCell="A10" sqref="A10"/>
    </sheetView>
  </sheetViews>
  <sheetFormatPr defaultRowHeight="15" x14ac:dyDescent="0.25"/>
  <cols>
    <col min="1" max="1" width="13.42578125" bestFit="1" customWidth="1"/>
    <col min="2" max="2" width="21" bestFit="1" customWidth="1"/>
  </cols>
  <sheetData>
    <row r="1" spans="1:8" x14ac:dyDescent="0.25">
      <c r="A1" s="3" t="s">
        <v>31</v>
      </c>
      <c r="B1" t="s">
        <v>43</v>
      </c>
      <c r="D1" s="2" t="s">
        <v>44</v>
      </c>
      <c r="E1" s="2"/>
      <c r="F1" s="2"/>
      <c r="G1" s="2"/>
    </row>
    <row r="3" spans="1:8" x14ac:dyDescent="0.25">
      <c r="A3" s="3" t="s">
        <v>39</v>
      </c>
      <c r="B3" t="s">
        <v>42</v>
      </c>
    </row>
    <row r="4" spans="1:8" x14ac:dyDescent="0.25">
      <c r="A4" s="4" t="s">
        <v>26</v>
      </c>
      <c r="B4">
        <v>14</v>
      </c>
    </row>
    <row r="5" spans="1:8" x14ac:dyDescent="0.25">
      <c r="A5" s="4" t="s">
        <v>25</v>
      </c>
      <c r="B5">
        <v>10</v>
      </c>
      <c r="D5" s="2" t="s">
        <v>45</v>
      </c>
      <c r="E5" s="2"/>
      <c r="F5" s="2"/>
      <c r="G5" s="2"/>
      <c r="H5" s="2"/>
    </row>
    <row r="6" spans="1:8" x14ac:dyDescent="0.25">
      <c r="A6" s="4" t="s">
        <v>29</v>
      </c>
      <c r="B6">
        <v>3</v>
      </c>
    </row>
    <row r="7" spans="1:8" x14ac:dyDescent="0.25">
      <c r="A7" s="4" t="s">
        <v>27</v>
      </c>
      <c r="B7">
        <v>10</v>
      </c>
    </row>
    <row r="8" spans="1:8" x14ac:dyDescent="0.25">
      <c r="A8" s="4" t="s">
        <v>28</v>
      </c>
      <c r="B8">
        <v>11</v>
      </c>
    </row>
    <row r="9" spans="1:8" x14ac:dyDescent="0.25">
      <c r="A9" s="4" t="s">
        <v>40</v>
      </c>
      <c r="B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Count Customers by State</vt:lpstr>
      <vt:lpstr>Risk Scores</vt:lpstr>
      <vt:lpstr>Pivote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Walden</dc:creator>
  <cp:lastModifiedBy>Chris Walden</cp:lastModifiedBy>
  <dcterms:created xsi:type="dcterms:W3CDTF">2026-06-22T21:50:12Z</dcterms:created>
  <dcterms:modified xsi:type="dcterms:W3CDTF">2026-07-22T21:39:40Z</dcterms:modified>
</cp:coreProperties>
</file>